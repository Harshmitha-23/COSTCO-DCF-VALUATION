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F5F843C1-44F4-4263-9197-9ABE0ABA136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ISTORICALS" sheetId="1" r:id="rId1"/>
    <sheet name="PROJECTIONS" sheetId="2" r:id="rId2"/>
    <sheet name="VALU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3" l="1"/>
  <c r="B4" i="3"/>
  <c r="D24" i="2"/>
  <c r="E24" i="2"/>
  <c r="F24" i="2"/>
  <c r="C24" i="2"/>
  <c r="B24" i="2"/>
  <c r="D21" i="2"/>
  <c r="E21" i="2"/>
  <c r="F21" i="2"/>
  <c r="C21" i="2"/>
  <c r="C17" i="2"/>
  <c r="D17" i="2"/>
  <c r="E17" i="2"/>
  <c r="F17" i="2"/>
  <c r="D13" i="2"/>
  <c r="E13" i="2"/>
  <c r="F13" i="2"/>
  <c r="C13" i="2"/>
  <c r="D6" i="2"/>
  <c r="E6" i="2"/>
  <c r="F6" i="2"/>
  <c r="D7" i="2"/>
  <c r="E7" i="2"/>
  <c r="F7" i="2"/>
  <c r="C7" i="2"/>
  <c r="C6" i="2"/>
  <c r="C10" i="2"/>
  <c r="D10" i="2"/>
  <c r="E10" i="2"/>
  <c r="F10" i="2"/>
  <c r="C3" i="2"/>
  <c r="E2" i="2"/>
  <c r="F2" i="2"/>
  <c r="D2" i="2"/>
  <c r="C2" i="2"/>
  <c r="B21" i="2"/>
  <c r="B17" i="2"/>
  <c r="B13" i="2"/>
  <c r="B7" i="2"/>
  <c r="B6" i="2"/>
  <c r="B3" i="2"/>
  <c r="B10" i="2"/>
  <c r="B5" i="2"/>
  <c r="B9" i="2" s="1"/>
  <c r="B12" i="2" s="1"/>
  <c r="B15" i="2" s="1"/>
  <c r="B2" i="2"/>
  <c r="K6" i="1"/>
  <c r="K18" i="1"/>
  <c r="K13" i="1"/>
  <c r="D5" i="1"/>
  <c r="D9" i="1" s="1"/>
  <c r="D12" i="1" s="1"/>
  <c r="D15" i="1" s="1"/>
  <c r="C5" i="1"/>
  <c r="C9" i="1" s="1"/>
  <c r="C12" i="1" s="1"/>
  <c r="C15" i="1" s="1"/>
  <c r="B5" i="1"/>
  <c r="B9" i="1" s="1"/>
  <c r="B12" i="1" s="1"/>
  <c r="B15" i="1" s="1"/>
  <c r="B1" i="3" l="1"/>
  <c r="B26" i="2"/>
  <c r="B2" i="3" s="1"/>
  <c r="B5" i="3"/>
  <c r="B8" i="3" s="1"/>
  <c r="B10" i="3" s="1"/>
  <c r="C5" i="2"/>
  <c r="C9" i="2" s="1"/>
  <c r="C12" i="2" s="1"/>
  <c r="C15" i="2" s="1"/>
  <c r="C18" i="2" s="1"/>
  <c r="C20" i="2" s="1"/>
  <c r="C23" i="2" s="1"/>
  <c r="D3" i="2"/>
  <c r="B18" i="2"/>
  <c r="B20" i="2" s="1"/>
  <c r="B23" i="2" s="1"/>
  <c r="B17" i="1"/>
  <c r="B18" i="1" s="1"/>
  <c r="C17" i="1"/>
  <c r="C18" i="1" s="1"/>
  <c r="D17" i="1"/>
  <c r="D18" i="1" s="1"/>
  <c r="D5" i="2" l="1"/>
  <c r="D9" i="2" s="1"/>
  <c r="D12" i="2" s="1"/>
  <c r="D15" i="2" s="1"/>
  <c r="D18" i="2" s="1"/>
  <c r="D20" i="2" s="1"/>
  <c r="D23" i="2" s="1"/>
  <c r="E3" i="2"/>
  <c r="D20" i="1"/>
  <c r="D23" i="1" s="1"/>
  <c r="C20" i="1"/>
  <c r="C23" i="1" s="1"/>
  <c r="B20" i="1"/>
  <c r="B23" i="1" s="1"/>
  <c r="E5" i="2" l="1"/>
  <c r="E9" i="2" s="1"/>
  <c r="E12" i="2" s="1"/>
  <c r="E15" i="2" s="1"/>
  <c r="E18" i="2" s="1"/>
  <c r="E20" i="2" s="1"/>
  <c r="E23" i="2" s="1"/>
  <c r="F3" i="2"/>
  <c r="F5" i="2" s="1"/>
  <c r="F9" i="2" s="1"/>
  <c r="F12" i="2" s="1"/>
  <c r="F15" i="2" s="1"/>
  <c r="F18" i="2" s="1"/>
  <c r="F20" i="2" s="1"/>
  <c r="F23" i="2" s="1"/>
</calcChain>
</file>

<file path=xl/sharedStrings.xml><?xml version="1.0" encoding="utf-8"?>
<sst xmlns="http://schemas.openxmlformats.org/spreadsheetml/2006/main" count="67" uniqueCount="48">
  <si>
    <t>INCOME STATEMENT</t>
  </si>
  <si>
    <t>2025</t>
  </si>
  <si>
    <t>2024</t>
  </si>
  <si>
    <t>2023</t>
  </si>
  <si>
    <t>REVENUE</t>
  </si>
  <si>
    <t>COGS</t>
  </si>
  <si>
    <t>TAX RATE</t>
  </si>
  <si>
    <t>REVENUE GROWTH RATE</t>
  </si>
  <si>
    <t>GROSS PROFIT</t>
  </si>
  <si>
    <t>EXPENSES GROWTH RATE</t>
  </si>
  <si>
    <t>OPERATING EXPENSE</t>
  </si>
  <si>
    <t>DISCOUNT RATE</t>
  </si>
  <si>
    <t>DEPRECITATION</t>
  </si>
  <si>
    <t xml:space="preserve"> </t>
  </si>
  <si>
    <t>Re = RISK FREE RATE + (BETA(EQ.RISK PREMIUM</t>
  </si>
  <si>
    <t>OPERATING INCOME</t>
  </si>
  <si>
    <t>OTHER INCOME</t>
  </si>
  <si>
    <t>RISK FREE RATE</t>
  </si>
  <si>
    <t>BETA</t>
  </si>
  <si>
    <t>EBIT</t>
  </si>
  <si>
    <t>EQ RISK PREMIUM</t>
  </si>
  <si>
    <t>INTEREST</t>
  </si>
  <si>
    <t>Re</t>
  </si>
  <si>
    <t>cost of debt</t>
  </si>
  <si>
    <t>TAXABLE INCOME</t>
  </si>
  <si>
    <t>We</t>
  </si>
  <si>
    <t>Wd</t>
  </si>
  <si>
    <t>TAXES</t>
  </si>
  <si>
    <t>NET INCOME</t>
  </si>
  <si>
    <t>WACC</t>
  </si>
  <si>
    <t>OPERATING CASH FLOW</t>
  </si>
  <si>
    <t>CAPEX</t>
  </si>
  <si>
    <t>TOTAL CASH FLOW</t>
  </si>
  <si>
    <t>2026</t>
  </si>
  <si>
    <t>2027</t>
  </si>
  <si>
    <t>2028</t>
  </si>
  <si>
    <t>2029</t>
  </si>
  <si>
    <t>PV(TCF)</t>
  </si>
  <si>
    <t>NPV</t>
  </si>
  <si>
    <t>FCF</t>
  </si>
  <si>
    <t>TERMINAL VALUE</t>
  </si>
  <si>
    <t>PV (TV)</t>
  </si>
  <si>
    <t>ENTERPRISE VALUE</t>
  </si>
  <si>
    <t>CASH AND EQUIVALENTS</t>
  </si>
  <si>
    <t>DEBT</t>
  </si>
  <si>
    <t>EQUITY VALUE</t>
  </si>
  <si>
    <t>SHARES O/S</t>
  </si>
  <si>
    <t>SHARE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</si>
</sst>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&quot;$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Aptos Narrow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scheme val="minor"/>
    </font>
    <font>
      <sz val="11"/>
      <color theme="1"/>
      <name val="Google Sans Text"/>
      <family val="2"/>
      <charset val="1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64" fontId="3" fillId="0" borderId="0" xfId="0" applyNumberFormat="1" applyFont="1"/>
    <xf numFmtId="164" fontId="5" fillId="0" borderId="0" xfId="0" applyNumberFormat="1" applyFont="1"/>
    <xf numFmtId="0" fontId="6" fillId="0" borderId="0" xfId="0" applyFont="1"/>
    <xf numFmtId="165" fontId="0" fillId="0" borderId="0" xfId="0" applyNumberFormat="1"/>
    <xf numFmtId="0" fontId="0" fillId="0" borderId="1" xfId="0" applyBorder="1"/>
    <xf numFmtId="165" fontId="1" fillId="0" borderId="1" xfId="0" applyNumberFormat="1" applyFont="1" applyBorder="1"/>
    <xf numFmtId="165" fontId="0" fillId="0" borderId="1" xfId="0" applyNumberFormat="1" applyBorder="1"/>
    <xf numFmtId="2" fontId="1" fillId="0" borderId="1" xfId="0" applyNumberFormat="1" applyFont="1" applyBorder="1"/>
    <xf numFmtId="165" fontId="0" fillId="2" borderId="1" xfId="0" applyNumberFormat="1" applyFont="1" applyFill="1" applyBorder="1"/>
    <xf numFmtId="0" fontId="4" fillId="0" borderId="1" xfId="0" applyFont="1" applyBorder="1"/>
    <xf numFmtId="0" fontId="7" fillId="0" borderId="0" xfId="0" applyFont="1"/>
    <xf numFmtId="0" fontId="0" fillId="2" borderId="0" xfId="0" applyFont="1" applyFill="1"/>
    <xf numFmtId="10" fontId="0" fillId="0" borderId="1" xfId="0" applyNumberFormat="1" applyBorder="1"/>
    <xf numFmtId="9" fontId="0" fillId="0" borderId="1" xfId="0" applyNumberFormat="1" applyBorder="1"/>
    <xf numFmtId="49" fontId="0" fillId="0" borderId="1" xfId="0" applyNumberFormat="1" applyFont="1" applyBorder="1"/>
    <xf numFmtId="10" fontId="0" fillId="3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12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164" formatCode="_([$$-409]* #,##0.00_);_([$$-409]* \(#,##0.00\);_([$$-409]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</dxf>
    <dxf>
      <font>
        <b val="0"/>
        <color theme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4D527-B27C-494C-A365-CE942BA57EB0}" name="Table2" displayName="Table2" ref="A1:D23" totalsRowShown="0" headerRowDxfId="11" dataDxfId="10">
  <autoFilter ref="A1:D23" xr:uid="{C984D527-B27C-494C-A365-CE942BA57EB0}"/>
  <tableColumns count="4">
    <tableColumn id="1" xr3:uid="{6C4452F9-6F61-411A-81DA-C2BAE533A159}" name="INCOME STATEMENT" dataDxfId="9"/>
    <tableColumn id="2" xr3:uid="{6ED57F44-EBD0-4240-870E-5054E9996DE5}" name="2025" dataDxfId="8"/>
    <tableColumn id="3" xr3:uid="{9B882D8E-858C-4629-971F-BFF4A5CB6FDF}" name="2024" dataDxfId="7"/>
    <tableColumn id="4" xr3:uid="{31ECFC48-F781-47F8-B1A9-975092791932}" name="2023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C8865-E453-4A4D-AB54-F8B29391304C}" name="Table1" displayName="Table1" ref="A1:F24" totalsRowShown="0">
  <autoFilter ref="A1:F24" xr:uid="{43CC8865-E453-4A4D-AB54-F8B29391304C}"/>
  <tableColumns count="6">
    <tableColumn id="1" xr3:uid="{943B2586-11EF-4CBB-B664-41258262CEE2}" name="INCOME STATEMENT" dataDxfId="5"/>
    <tableColumn id="2" xr3:uid="{E02101BF-E104-44F0-AD71-3392F2F20EE1}" name="2025" dataDxfId="4"/>
    <tableColumn id="3" xr3:uid="{B9C589A8-0F39-445D-99B5-E632CE5CE315}" name="2026" dataDxfId="3"/>
    <tableColumn id="4" xr3:uid="{BF4174C0-E94E-4767-AE42-8D131BA21DF1}" name="2027" dataDxfId="2"/>
    <tableColumn id="5" xr3:uid="{39B7988D-28C5-4016-8ABA-E7D327B59039}" name="2028" dataDxfId="1"/>
    <tableColumn id="6" xr3:uid="{1263EB82-595A-4508-9BF1-731FD0C773D0}" name="20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H10" sqref="H10"/>
    </sheetView>
  </sheetViews>
  <sheetFormatPr defaultRowHeight="15"/>
  <cols>
    <col min="1" max="1" width="26.42578125" bestFit="1" customWidth="1"/>
    <col min="2" max="2" width="17.7109375" style="2" bestFit="1" customWidth="1"/>
    <col min="3" max="4" width="17.7109375" bestFit="1" customWidth="1"/>
    <col min="10" max="10" width="24" bestFit="1" customWidth="1"/>
    <col min="11" max="11" width="9.7109375" bestFit="1" customWidth="1"/>
  </cols>
  <sheetData>
    <row r="1" spans="1:11">
      <c r="A1" s="12" t="s">
        <v>0</v>
      </c>
      <c r="B1" s="13" t="s">
        <v>1</v>
      </c>
      <c r="C1" s="13" t="s">
        <v>2</v>
      </c>
      <c r="D1" s="13" t="s">
        <v>3</v>
      </c>
    </row>
    <row r="2" spans="1:11">
      <c r="A2" s="1" t="s">
        <v>4</v>
      </c>
      <c r="B2" s="3">
        <v>275235000</v>
      </c>
      <c r="C2" s="3">
        <v>254453000</v>
      </c>
      <c r="D2" s="3">
        <v>242290000</v>
      </c>
    </row>
    <row r="3" spans="1:11">
      <c r="A3" s="1" t="s">
        <v>5</v>
      </c>
      <c r="B3" s="3">
        <v>239886000</v>
      </c>
      <c r="C3" s="3">
        <v>222358000</v>
      </c>
      <c r="D3" s="3">
        <v>212586000</v>
      </c>
      <c r="J3" s="6" t="s">
        <v>6</v>
      </c>
      <c r="K3" s="14">
        <v>0.24</v>
      </c>
    </row>
    <row r="4" spans="1:11">
      <c r="A4" s="1"/>
      <c r="B4" s="3"/>
      <c r="C4" s="3"/>
      <c r="D4" s="3"/>
      <c r="J4" s="6" t="s">
        <v>7</v>
      </c>
      <c r="K4" s="14">
        <v>0.06</v>
      </c>
    </row>
    <row r="5" spans="1:11">
      <c r="A5" s="1" t="s">
        <v>8</v>
      </c>
      <c r="B5" s="3">
        <f>B2-B3</f>
        <v>35349000</v>
      </c>
      <c r="C5" s="3">
        <f>C2-C3</f>
        <v>32095000</v>
      </c>
      <c r="D5" s="3">
        <f>D2-D3</f>
        <v>29704000</v>
      </c>
      <c r="J5" s="6" t="s">
        <v>9</v>
      </c>
      <c r="K5" s="14">
        <v>0.04</v>
      </c>
    </row>
    <row r="6" spans="1:11">
      <c r="A6" s="1" t="s">
        <v>10</v>
      </c>
      <c r="B6" s="3">
        <v>24966000</v>
      </c>
      <c r="C6" s="3">
        <v>22810000</v>
      </c>
      <c r="D6" s="3">
        <v>21590000</v>
      </c>
      <c r="J6" s="6" t="s">
        <v>11</v>
      </c>
      <c r="K6" s="14">
        <f>K18</f>
        <v>7.6285000000000006E-2</v>
      </c>
    </row>
    <row r="7" spans="1:11">
      <c r="A7" s="1" t="s">
        <v>12</v>
      </c>
      <c r="B7" s="3">
        <v>2426000</v>
      </c>
      <c r="C7" s="3">
        <v>2237000</v>
      </c>
      <c r="D7" s="3">
        <v>2048000</v>
      </c>
    </row>
    <row r="8" spans="1:11">
      <c r="A8" s="1" t="s">
        <v>13</v>
      </c>
      <c r="B8" s="3"/>
      <c r="C8" s="3"/>
      <c r="D8" s="3"/>
      <c r="J8" s="4" t="s">
        <v>14</v>
      </c>
    </row>
    <row r="9" spans="1:11">
      <c r="A9" s="1" t="s">
        <v>15</v>
      </c>
      <c r="B9" s="3">
        <f>B5-B6-B7</f>
        <v>7957000</v>
      </c>
      <c r="C9" s="3">
        <f>C5-C6-C7</f>
        <v>7048000</v>
      </c>
      <c r="D9" s="3">
        <f>D5-D6-D7</f>
        <v>6066000</v>
      </c>
    </row>
    <row r="10" spans="1:11">
      <c r="A10" s="1" t="s">
        <v>16</v>
      </c>
      <c r="B10" s="3">
        <v>0</v>
      </c>
      <c r="C10" s="3">
        <v>0</v>
      </c>
      <c r="D10" s="3">
        <v>0</v>
      </c>
      <c r="J10" s="16" t="s">
        <v>17</v>
      </c>
      <c r="K10" s="14">
        <v>4.2000000000000003E-2</v>
      </c>
    </row>
    <row r="11" spans="1:11">
      <c r="A11" s="1"/>
      <c r="B11" s="3"/>
      <c r="C11" s="3"/>
      <c r="D11" s="3"/>
      <c r="J11" s="16" t="s">
        <v>18</v>
      </c>
      <c r="K11" s="6">
        <v>0.66</v>
      </c>
    </row>
    <row r="12" spans="1:11">
      <c r="A12" s="1" t="s">
        <v>19</v>
      </c>
      <c r="B12" s="3">
        <f>B9-B10</f>
        <v>7957000</v>
      </c>
      <c r="C12" s="3">
        <f>C9-C10</f>
        <v>7048000</v>
      </c>
      <c r="D12" s="3">
        <f>D9-D10</f>
        <v>6066000</v>
      </c>
      <c r="J12" s="16" t="s">
        <v>20</v>
      </c>
      <c r="K12" s="14">
        <v>5.5E-2</v>
      </c>
    </row>
    <row r="13" spans="1:11">
      <c r="A13" s="1" t="s">
        <v>21</v>
      </c>
      <c r="B13" s="3">
        <v>154000</v>
      </c>
      <c r="C13" s="3">
        <v>169000</v>
      </c>
      <c r="D13" s="3">
        <v>160000</v>
      </c>
      <c r="J13" s="16" t="s">
        <v>22</v>
      </c>
      <c r="K13" s="14">
        <f>K10+(K11*K12)</f>
        <v>7.8300000000000008E-2</v>
      </c>
    </row>
    <row r="14" spans="1:11">
      <c r="A14" s="1"/>
      <c r="B14" s="3"/>
      <c r="C14" s="3"/>
      <c r="D14" s="3"/>
      <c r="J14" s="16" t="s">
        <v>23</v>
      </c>
      <c r="K14" s="15">
        <v>0.05</v>
      </c>
    </row>
    <row r="15" spans="1:11">
      <c r="A15" s="1" t="s">
        <v>24</v>
      </c>
      <c r="B15" s="3">
        <f>B12-B13</f>
        <v>7803000</v>
      </c>
      <c r="C15" s="3">
        <f>C12-C13</f>
        <v>6879000</v>
      </c>
      <c r="D15" s="3">
        <f>D12-D13</f>
        <v>5906000</v>
      </c>
      <c r="J15" s="16" t="s">
        <v>25</v>
      </c>
      <c r="K15" s="6">
        <v>0.95</v>
      </c>
    </row>
    <row r="16" spans="1:11">
      <c r="A16" s="1"/>
      <c r="B16" s="3"/>
      <c r="C16" s="3"/>
      <c r="D16" s="3"/>
      <c r="J16" s="16" t="s">
        <v>26</v>
      </c>
      <c r="K16" s="6">
        <v>0.05</v>
      </c>
    </row>
    <row r="17" spans="1:11">
      <c r="A17" s="1" t="s">
        <v>27</v>
      </c>
      <c r="B17" s="3">
        <f>B15*$K$3</f>
        <v>1872720</v>
      </c>
      <c r="C17" s="3">
        <f t="shared" ref="C17:D17" si="0">C15*$K$3</f>
        <v>1650960</v>
      </c>
      <c r="D17" s="3">
        <f t="shared" si="0"/>
        <v>1417440</v>
      </c>
      <c r="J17" s="16"/>
      <c r="K17" s="6"/>
    </row>
    <row r="18" spans="1:11">
      <c r="A18" s="1" t="s">
        <v>28</v>
      </c>
      <c r="B18" s="3">
        <f>B15-B17</f>
        <v>5930280</v>
      </c>
      <c r="C18" s="3">
        <f>C15-C17</f>
        <v>5228040</v>
      </c>
      <c r="D18" s="3">
        <f>D15-D17</f>
        <v>4488560</v>
      </c>
      <c r="J18" s="16" t="s">
        <v>29</v>
      </c>
      <c r="K18" s="17">
        <f>(K15*K13)+(K16*K14*(1-K3))</f>
        <v>7.6285000000000006E-2</v>
      </c>
    </row>
    <row r="19" spans="1:11">
      <c r="A19" s="1"/>
      <c r="B19" s="3"/>
      <c r="C19" s="3"/>
      <c r="D19" s="3"/>
    </row>
    <row r="20" spans="1:11">
      <c r="A20" s="1" t="s">
        <v>30</v>
      </c>
      <c r="B20" s="3">
        <f>B18+B10+B7</f>
        <v>8356280</v>
      </c>
      <c r="C20" s="3">
        <f t="shared" ref="C20:D20" si="1">C18+C10+C7</f>
        <v>7465040</v>
      </c>
      <c r="D20" s="3">
        <f t="shared" si="1"/>
        <v>6536560</v>
      </c>
    </row>
    <row r="21" spans="1:11">
      <c r="A21" s="1" t="s">
        <v>31</v>
      </c>
      <c r="B21" s="3">
        <v>5498000</v>
      </c>
      <c r="C21" s="3">
        <v>4710000</v>
      </c>
      <c r="D21" s="3">
        <v>4323000</v>
      </c>
    </row>
    <row r="22" spans="1:11">
      <c r="A22" s="1"/>
      <c r="B22" s="3"/>
      <c r="C22" s="3"/>
      <c r="D22" s="3"/>
    </row>
    <row r="23" spans="1:11">
      <c r="A23" s="1" t="s">
        <v>32</v>
      </c>
      <c r="B23" s="3">
        <f>B20-B21</f>
        <v>2858280</v>
      </c>
      <c r="C23" s="3">
        <f>C20-C21</f>
        <v>2755040</v>
      </c>
      <c r="D23" s="3">
        <f>D20-D21</f>
        <v>2213560</v>
      </c>
    </row>
    <row r="24" spans="1:11">
      <c r="A24" s="1"/>
      <c r="B24" s="3"/>
      <c r="C24" s="18"/>
      <c r="D2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F320-D81F-4D12-80D3-32F79C742D75}">
  <dimension ref="A1:F26"/>
  <sheetViews>
    <sheetView workbookViewId="0">
      <selection activeCell="A30" sqref="A30"/>
    </sheetView>
  </sheetViews>
  <sheetFormatPr defaultRowHeight="15"/>
  <cols>
    <col min="1" max="1" width="23" bestFit="1" customWidth="1"/>
    <col min="2" max="2" width="16" bestFit="1" customWidth="1"/>
    <col min="3" max="4" width="17.7109375" bestFit="1" customWidth="1"/>
    <col min="5" max="5" width="18.7109375" bestFit="1" customWidth="1"/>
    <col min="6" max="6" width="19.85546875" bestFit="1" customWidth="1"/>
  </cols>
  <sheetData>
    <row r="1" spans="1:6">
      <c r="A1" s="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</row>
    <row r="2" spans="1:6">
      <c r="A2" s="1" t="s">
        <v>4</v>
      </c>
      <c r="B2" s="5">
        <f>HISTORICALS!$B$2</f>
        <v>275235000</v>
      </c>
      <c r="C2" s="5">
        <f>B2*(1+HISTORICALS!$K$6)</f>
        <v>296231301.97499996</v>
      </c>
      <c r="D2" s="5">
        <f>C2*(1+HISTORICALS!$K$6)</f>
        <v>318829306.8461628</v>
      </c>
      <c r="E2" s="5">
        <f>D2*(1+HISTORICALS!$K$6)</f>
        <v>343151200.51892233</v>
      </c>
      <c r="F2" s="5">
        <f>E2*(1+HISTORICALS!$K$6)</f>
        <v>369328489.85050827</v>
      </c>
    </row>
    <row r="3" spans="1:6">
      <c r="A3" s="1" t="s">
        <v>5</v>
      </c>
      <c r="B3" s="5">
        <f>HISTORICALS!$B$3</f>
        <v>239886000</v>
      </c>
      <c r="C3" s="5">
        <f>B3*(1+HISTORICALS!$K$5)</f>
        <v>249481440</v>
      </c>
      <c r="D3" s="5">
        <f>C3*(1+HISTORICALS!$K$5)</f>
        <v>259460697.59999999</v>
      </c>
      <c r="E3" s="5">
        <f>D3*(1+HISTORICALS!$K$5)</f>
        <v>269839125.50400001</v>
      </c>
      <c r="F3" s="5">
        <f>E3*(1+HISTORICALS!$K$5)</f>
        <v>280632690.52416003</v>
      </c>
    </row>
    <row r="4" spans="1:6">
      <c r="A4" s="1"/>
      <c r="B4" s="5"/>
    </row>
    <row r="5" spans="1:6">
      <c r="A5" s="1" t="s">
        <v>8</v>
      </c>
      <c r="B5" s="5">
        <f>B2-B3</f>
        <v>35349000</v>
      </c>
      <c r="C5" s="5">
        <f t="shared" ref="C5:F5" si="0">C2-C3</f>
        <v>46749861.974999964</v>
      </c>
      <c r="D5" s="5">
        <f t="shared" si="0"/>
        <v>59368609.246162802</v>
      </c>
      <c r="E5" s="5">
        <f t="shared" si="0"/>
        <v>73312075.014922321</v>
      </c>
      <c r="F5" s="5">
        <f t="shared" si="0"/>
        <v>88695799.326348245</v>
      </c>
    </row>
    <row r="6" spans="1:6">
      <c r="A6" s="1" t="s">
        <v>10</v>
      </c>
      <c r="B6" s="5">
        <f>HISTORICALS!$B$6</f>
        <v>24966000</v>
      </c>
      <c r="C6" s="5">
        <f>B6*(1+HISTORICALS!$K$5)</f>
        <v>25964640</v>
      </c>
      <c r="D6" s="5">
        <f>C6*(1+HISTORICALS!$K$5)</f>
        <v>27003225.600000001</v>
      </c>
      <c r="E6" s="5">
        <f>D6*(1+HISTORICALS!$K$5)</f>
        <v>28083354.624000002</v>
      </c>
      <c r="F6" s="5">
        <f>E6*(1+HISTORICALS!$K$5)</f>
        <v>29206688.808960002</v>
      </c>
    </row>
    <row r="7" spans="1:6">
      <c r="A7" s="1" t="s">
        <v>12</v>
      </c>
      <c r="B7" s="5">
        <f>HISTORICALS!$B$7</f>
        <v>2426000</v>
      </c>
      <c r="C7" s="5">
        <f>B7*(1+HISTORICALS!$K$5)</f>
        <v>2523040</v>
      </c>
      <c r="D7" s="5">
        <f>C7*(1+HISTORICALS!$K$5)</f>
        <v>2623961.6</v>
      </c>
      <c r="E7" s="5">
        <f>D7*(1+HISTORICALS!$K$5)</f>
        <v>2728920.0640000002</v>
      </c>
      <c r="F7" s="5">
        <f>E7*(1+HISTORICALS!$K$5)</f>
        <v>2838076.8665600005</v>
      </c>
    </row>
    <row r="8" spans="1:6">
      <c r="A8" s="1" t="s">
        <v>13</v>
      </c>
      <c r="B8" s="5"/>
    </row>
    <row r="9" spans="1:6">
      <c r="A9" s="1" t="s">
        <v>15</v>
      </c>
      <c r="B9" s="5">
        <f>B5-B6-B7</f>
        <v>7957000</v>
      </c>
      <c r="C9" s="5">
        <f t="shared" ref="C9:F9" si="1">C5-C6-C7</f>
        <v>18262181.974999964</v>
      </c>
      <c r="D9" s="5">
        <f t="shared" si="1"/>
        <v>29741422.046162799</v>
      </c>
      <c r="E9" s="5">
        <f t="shared" si="1"/>
        <v>42499800.32692232</v>
      </c>
      <c r="F9" s="5">
        <f t="shared" si="1"/>
        <v>56651033.650828242</v>
      </c>
    </row>
    <row r="10" spans="1:6">
      <c r="A10" s="1" t="s">
        <v>16</v>
      </c>
      <c r="B10" s="5">
        <f>0</f>
        <v>0</v>
      </c>
      <c r="C10" s="5">
        <f>0</f>
        <v>0</v>
      </c>
      <c r="D10" s="5">
        <f>0</f>
        <v>0</v>
      </c>
      <c r="E10" s="5">
        <f>0</f>
        <v>0</v>
      </c>
      <c r="F10" s="5">
        <f>0</f>
        <v>0</v>
      </c>
    </row>
    <row r="11" spans="1:6">
      <c r="A11" s="1"/>
      <c r="B11" s="5"/>
    </row>
    <row r="12" spans="1:6">
      <c r="A12" s="1" t="s">
        <v>19</v>
      </c>
      <c r="B12" s="5">
        <f>B9-B10</f>
        <v>7957000</v>
      </c>
      <c r="C12" s="5">
        <f t="shared" ref="C12:F12" si="2">C9-C10</f>
        <v>18262181.974999964</v>
      </c>
      <c r="D12" s="5">
        <f t="shared" si="2"/>
        <v>29741422.046162799</v>
      </c>
      <c r="E12" s="5">
        <f t="shared" si="2"/>
        <v>42499800.32692232</v>
      </c>
      <c r="F12" s="5">
        <f t="shared" si="2"/>
        <v>56651033.650828242</v>
      </c>
    </row>
    <row r="13" spans="1:6">
      <c r="A13" s="1" t="s">
        <v>21</v>
      </c>
      <c r="B13" s="5">
        <f>HISTORICALS!$B$13</f>
        <v>154000</v>
      </c>
      <c r="C13" s="5">
        <f>B13*(1+HISTORICALS!$K$5)</f>
        <v>160160</v>
      </c>
      <c r="D13" s="5">
        <f>C13*(1+HISTORICALS!$K$5)</f>
        <v>166566.39999999999</v>
      </c>
      <c r="E13" s="5">
        <f>D13*(1+HISTORICALS!$K$5)</f>
        <v>173229.05600000001</v>
      </c>
      <c r="F13" s="5">
        <f>E13*(1+HISTORICALS!$K$5)</f>
        <v>180158.21824000002</v>
      </c>
    </row>
    <row r="14" spans="1:6">
      <c r="A14" s="1"/>
      <c r="B14" s="5"/>
    </row>
    <row r="15" spans="1:6">
      <c r="A15" s="1" t="s">
        <v>24</v>
      </c>
      <c r="B15" s="5">
        <f>B12-B13</f>
        <v>7803000</v>
      </c>
      <c r="C15" s="5">
        <f t="shared" ref="C15:F15" si="3">C12-C13</f>
        <v>18102021.974999964</v>
      </c>
      <c r="D15" s="5">
        <f t="shared" si="3"/>
        <v>29574855.6461628</v>
      </c>
      <c r="E15" s="5">
        <f t="shared" si="3"/>
        <v>42326571.270922318</v>
      </c>
      <c r="F15" s="5">
        <f t="shared" si="3"/>
        <v>56470875.432588242</v>
      </c>
    </row>
    <row r="16" spans="1:6">
      <c r="A16" s="1"/>
      <c r="B16" s="5"/>
    </row>
    <row r="17" spans="1:6">
      <c r="A17" s="1" t="s">
        <v>27</v>
      </c>
      <c r="B17" s="5">
        <f>B15*HISTORICALS!$K$3</f>
        <v>1872720</v>
      </c>
      <c r="C17" s="5">
        <f>C15*HISTORICALS!$K$3</f>
        <v>4344485.2739999909</v>
      </c>
      <c r="D17" s="5">
        <f>D15*HISTORICALS!$K$3</f>
        <v>7097965.3550790716</v>
      </c>
      <c r="E17" s="5">
        <f>E15*HISTORICALS!$K$3</f>
        <v>10158377.105021356</v>
      </c>
      <c r="F17" s="5">
        <f>F15*HISTORICALS!$K$3</f>
        <v>13553010.103821177</v>
      </c>
    </row>
    <row r="18" spans="1:6">
      <c r="A18" s="1" t="s">
        <v>28</v>
      </c>
      <c r="B18" s="5">
        <f>B15-B17</f>
        <v>5930280</v>
      </c>
      <c r="C18" s="5">
        <f t="shared" ref="C18:F18" si="4">C15-C17</f>
        <v>13757536.700999973</v>
      </c>
      <c r="D18" s="5">
        <f t="shared" si="4"/>
        <v>22476890.291083731</v>
      </c>
      <c r="E18" s="5">
        <f t="shared" si="4"/>
        <v>32168194.165900961</v>
      </c>
      <c r="F18" s="5">
        <f t="shared" si="4"/>
        <v>42917865.328767061</v>
      </c>
    </row>
    <row r="19" spans="1:6">
      <c r="A19" s="1"/>
      <c r="B19" s="5"/>
    </row>
    <row r="20" spans="1:6">
      <c r="A20" s="1" t="s">
        <v>30</v>
      </c>
      <c r="B20" s="5">
        <f>B18+B10+B7</f>
        <v>8356280</v>
      </c>
      <c r="C20" s="5">
        <f t="shared" ref="C20:F20" si="5">C18+C10+C7</f>
        <v>16280576.700999973</v>
      </c>
      <c r="D20" s="5">
        <f t="shared" si="5"/>
        <v>25100851.891083732</v>
      </c>
      <c r="E20" s="5">
        <f t="shared" si="5"/>
        <v>34897114.229900964</v>
      </c>
      <c r="F20" s="5">
        <f t="shared" si="5"/>
        <v>45755942.195327058</v>
      </c>
    </row>
    <row r="21" spans="1:6">
      <c r="A21" s="1" t="s">
        <v>31</v>
      </c>
      <c r="B21" s="5">
        <f>HISTORICALS!$B$21</f>
        <v>5498000</v>
      </c>
      <c r="C21" s="5">
        <f>B21*(1+HISTORICALS!$K$5)</f>
        <v>5717920</v>
      </c>
      <c r="D21" s="5">
        <f>C21*(1+HISTORICALS!$K$5)</f>
        <v>5946636.7999999998</v>
      </c>
      <c r="E21" s="5">
        <f>D21*(1+HISTORICALS!$K$5)</f>
        <v>6184502.2719999999</v>
      </c>
      <c r="F21" s="5">
        <f>E21*(1+HISTORICALS!$K$5)</f>
        <v>6431882.3628799999</v>
      </c>
    </row>
    <row r="22" spans="1:6">
      <c r="A22" s="1"/>
      <c r="B22" s="5"/>
    </row>
    <row r="23" spans="1:6">
      <c r="A23" s="1" t="s">
        <v>32</v>
      </c>
      <c r="B23" s="5">
        <f>B20-B21</f>
        <v>2858280</v>
      </c>
      <c r="C23" s="5">
        <f t="shared" ref="C23:F23" si="6">C20-C21</f>
        <v>10562656.700999973</v>
      </c>
      <c r="D23" s="5">
        <f t="shared" si="6"/>
        <v>19154215.091083732</v>
      </c>
      <c r="E23" s="5">
        <f t="shared" si="6"/>
        <v>28712611.957900964</v>
      </c>
      <c r="F23" s="5">
        <f t="shared" si="6"/>
        <v>39324059.832447059</v>
      </c>
    </row>
    <row r="24" spans="1:6">
      <c r="A24" s="1" t="s">
        <v>37</v>
      </c>
      <c r="B24" s="5">
        <f>B23/(1+HISTORICALS!$K$6)^(B1-2024)</f>
        <v>2655690.6395610832</v>
      </c>
      <c r="C24" s="5">
        <f>C23/(1+HISTORICALS!$K$6)^(C1-B1)</f>
        <v>9813996.0149960034</v>
      </c>
      <c r="D24" s="5">
        <f>D23/(1+HISTORICALS!$K$6)^(D1-C1)</f>
        <v>17796601.356595822</v>
      </c>
      <c r="E24" s="5">
        <f>E23/(1+HISTORICALS!$K$6)^(E1-D1)</f>
        <v>26677517.532903429</v>
      </c>
      <c r="F24" s="5">
        <f>F23/(1+HISTORICALS!$K$6)^(F1-E1)</f>
        <v>36536846.497393407</v>
      </c>
    </row>
    <row r="26" spans="1:6">
      <c r="A26" s="11" t="s">
        <v>38</v>
      </c>
      <c r="B26" s="10">
        <f>NPV(HISTORICALS!K6,PROJECTIONS!B24:F24)</f>
        <v>70393279.180837408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1A97-52FF-4358-B824-9E677CF42C39}">
  <dimension ref="A1:B10"/>
  <sheetViews>
    <sheetView tabSelected="1" workbookViewId="0">
      <selection activeCell="D12" sqref="D12"/>
    </sheetView>
  </sheetViews>
  <sheetFormatPr defaultRowHeight="15"/>
  <cols>
    <col min="1" max="1" width="18.28515625" bestFit="1" customWidth="1"/>
    <col min="2" max="2" width="17.7109375" bestFit="1" customWidth="1"/>
  </cols>
  <sheetData>
    <row r="1" spans="1:2">
      <c r="A1" s="6" t="s">
        <v>39</v>
      </c>
      <c r="B1" s="7">
        <f>SUM(PROJECTIONS!B24:F24)</f>
        <v>93480652.041449755</v>
      </c>
    </row>
    <row r="2" spans="1:2">
      <c r="A2" s="6" t="s">
        <v>38</v>
      </c>
      <c r="B2" s="7">
        <f>PROJECTIONS!B26</f>
        <v>70393279.180837408</v>
      </c>
    </row>
    <row r="3" spans="1:2">
      <c r="A3" s="8" t="s">
        <v>40</v>
      </c>
      <c r="B3" s="7">
        <f>PROJECTIONS!F23*(1+0.03)/(HISTORICALS!K18-0.03)</f>
        <v>875095206.38263941</v>
      </c>
    </row>
    <row r="4" spans="1:2">
      <c r="A4" s="8" t="s">
        <v>41</v>
      </c>
      <c r="B4" s="7">
        <f>B3/(1+HISTORICALS!K18)^5</f>
        <v>605924993.2850976</v>
      </c>
    </row>
    <row r="5" spans="1:2">
      <c r="A5" s="8" t="s">
        <v>42</v>
      </c>
      <c r="B5" s="7">
        <f>B4+B2</f>
        <v>676318272.46593499</v>
      </c>
    </row>
    <row r="6" spans="1:2">
      <c r="A6" s="6" t="s">
        <v>43</v>
      </c>
      <c r="B6" s="7">
        <v>15284000</v>
      </c>
    </row>
    <row r="7" spans="1:2">
      <c r="A7" s="6" t="s">
        <v>44</v>
      </c>
      <c r="B7" s="7">
        <v>8173000</v>
      </c>
    </row>
    <row r="8" spans="1:2">
      <c r="A8" s="6" t="s">
        <v>45</v>
      </c>
      <c r="B8" s="7">
        <f>B5+B6-B7</f>
        <v>683429272.46593499</v>
      </c>
    </row>
    <row r="9" spans="1:2">
      <c r="A9" s="6" t="s">
        <v>46</v>
      </c>
      <c r="B9" s="9">
        <v>444509.75</v>
      </c>
    </row>
    <row r="10" spans="1:2">
      <c r="A10" s="6" t="s">
        <v>47</v>
      </c>
      <c r="B10" s="7">
        <f>B8/B9</f>
        <v>1537.4899481191019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2026-08-26T15:18:11Z</dcterms:created>
  <dcterms:modified xsi:type="dcterms:W3CDTF">2026-09-03T15:27:19Z</dcterms:modified>
  <cp:category/>
  <cp:contentStatus/>
</cp:coreProperties>
</file>